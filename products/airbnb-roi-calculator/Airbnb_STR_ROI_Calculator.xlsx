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Inputs" sheetId="2" state="visible" r:id="rId2"/>
    <sheet name="ROI Dashboard" sheetId="3" state="visible" r:id="rId3"/>
    <sheet name="Monthly 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;(0.0%);&quot;-&quot;"/>
    <numFmt numFmtId="166" formatCode="0.0"/>
    <numFmt numFmtId="167" formatCode="$#,##0.00;($#,##0.00);&quot;-&quot;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</font>
    <font>
      <name val="Arial"/>
      <color rgb="00000000"/>
    </font>
    <font>
      <name val="Arial"/>
      <i val="1"/>
      <color rgb="00666666"/>
    </font>
    <font>
      <name val="Arial"/>
      <b val="1"/>
      <color rgb="00FFFFFF"/>
      <sz val="11"/>
    </font>
    <font>
      <name val="Arial"/>
      <b val="1"/>
      <color rgb="000000FF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F00"/>
        <bgColor rgb="00FFFF00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indent="1"/>
    </xf>
    <xf numFmtId="0" fontId="0" fillId="2" borderId="0" pivotButton="0" quotePrefix="0" xfId="0"/>
    <xf numFmtId="164" fontId="6" fillId="3" borderId="1" pivotButton="0" quotePrefix="0" xfId="0"/>
    <xf numFmtId="0" fontId="7" fillId="0" borderId="0" pivotButton="0" quotePrefix="0" xfId="0"/>
    <xf numFmtId="165" fontId="6" fillId="3" borderId="1" pivotButton="0" quotePrefix="0" xfId="0"/>
    <xf numFmtId="1" fontId="6" fillId="3" borderId="1" pivotButton="0" quotePrefix="0" xfId="0"/>
    <xf numFmtId="166" fontId="6" fillId="3" borderId="1" pivotButton="0" quotePrefix="0" xfId="0"/>
    <xf numFmtId="164" fontId="2" fillId="0" borderId="1" pivotButton="0" quotePrefix="0" xfId="0"/>
    <xf numFmtId="164" fontId="3" fillId="0" borderId="1" pivotButton="0" quotePrefix="0" xfId="0"/>
    <xf numFmtId="1" fontId="3" fillId="0" borderId="1" pivotButton="0" quotePrefix="0" xfId="0"/>
    <xf numFmtId="166" fontId="3" fillId="0" borderId="1" pivotButton="0" quotePrefix="0" xfId="0"/>
    <xf numFmtId="165" fontId="2" fillId="0" borderId="1" pivotButton="0" quotePrefix="0" xfId="0"/>
    <xf numFmtId="167" fontId="3" fillId="0" borderId="1" pivotButton="0" quotePrefix="0" xfId="0"/>
    <xf numFmtId="165" fontId="3" fillId="0" borderId="1" pivotButton="0" quotePrefix="0" xfId="0"/>
    <xf numFmtId="1" fontId="2" fillId="0" borderId="1" pivotButton="0" quotePrefix="0" xfId="0"/>
    <xf numFmtId="0" fontId="2" fillId="4" borderId="1" applyAlignment="1" pivotButton="0" quotePrefix="0" xfId="0">
      <alignment horizontal="center"/>
    </xf>
    <xf numFmtId="164" fontId="2" fillId="4" borderId="1" pivotButton="0" quotePrefix="0" xfId="0"/>
    <xf numFmtId="0" fontId="2" fillId="4" borderId="1" pivotButton="0" quotePrefix="0" xfId="0"/>
    <xf numFmtId="2" fontId="6" fillId="3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Short-Term Rental / Airbnb ROI &amp; Cash Flow Calculator</t>
        </is>
      </c>
    </row>
    <row r="2">
      <c r="A2" s="2" t="inlineStr">
        <is>
          <t>How to use this workbook</t>
        </is>
      </c>
    </row>
    <row r="3">
      <c r="A3" s="3" t="inlineStr"/>
    </row>
    <row r="4">
      <c r="A4" s="2" t="inlineStr">
        <is>
          <t>1. Go to the 'Inputs' tab. Every cell shaded yellow with blue text is meant for you to edit.</t>
        </is>
      </c>
    </row>
    <row r="5">
      <c r="A5" s="3" t="inlineStr">
        <is>
          <t xml:space="preserve">   Replace the example numbers with your own property's numbers.</t>
        </is>
      </c>
    </row>
    <row r="6">
      <c r="A6" s="2" t="inlineStr">
        <is>
          <t>2. The 'ROI Dashboard' tab updates automatically and shows your key investment metrics:</t>
        </is>
      </c>
    </row>
    <row r="7">
      <c r="A7" s="3" t="inlineStr">
        <is>
          <t xml:space="preserve">   Cap Rate, Cash-on-Cash Return, NOI, Monthly &amp; Annual Cash Flow, Break-Even Occupancy,</t>
        </is>
      </c>
    </row>
    <row r="8">
      <c r="A8" s="3" t="inlineStr">
        <is>
          <t xml:space="preserve">   and a 5-Year projection.</t>
        </is>
      </c>
    </row>
    <row r="9">
      <c r="A9" s="2" t="inlineStr">
        <is>
          <t>3. The 'Monthly Cash Flow' tab breaks the first year down month by month, with a seasonality</t>
        </is>
      </c>
    </row>
    <row r="10">
      <c r="A10" s="3" t="inlineStr">
        <is>
          <t xml:space="preserve">   slider per month so you can model peak vs. off-peak booking rates.</t>
        </is>
      </c>
    </row>
    <row r="11">
      <c r="A11" s="2" t="inlineStr">
        <is>
          <t>4. Nothing on the Dashboard or Monthly tabs needs editing -- they are all formulas driven by</t>
        </is>
      </c>
    </row>
    <row r="12">
      <c r="A12" s="3" t="inlineStr">
        <is>
          <t xml:space="preserve">   your Inputs. If a number looks wrong, check the matching Inputs cell first.</t>
        </is>
      </c>
    </row>
    <row r="13">
      <c r="A13" s="2" t="inlineStr">
        <is>
          <t>5. All formulas are live Excel/Google Sheets formulas, not pasted values -- change any input</t>
        </is>
      </c>
    </row>
    <row r="14">
      <c r="A14" s="3" t="inlineStr">
        <is>
          <t xml:space="preserve">   and every downstream number recalculates.</t>
        </is>
      </c>
    </row>
    <row r="15">
      <c r="A15" s="3" t="inlineStr"/>
    </row>
    <row r="16">
      <c r="A16" s="2" t="inlineStr">
        <is>
          <t>Definitions</t>
        </is>
      </c>
    </row>
    <row r="17">
      <c r="A17" s="3" t="inlineStr">
        <is>
          <t xml:space="preserve">  NOI (Net Operating Income) = Gross Rental Income - Operating Expenses (excludes mortgage P&amp;I)</t>
        </is>
      </c>
    </row>
    <row r="18">
      <c r="A18" s="3" t="inlineStr">
        <is>
          <t xml:space="preserve">  Cap Rate = NOI / Purchase Price</t>
        </is>
      </c>
    </row>
    <row r="19">
      <c r="A19" s="3" t="inlineStr">
        <is>
          <t xml:space="preserve">  Cash-on-Cash Return = Annual Pre-Tax Cash Flow / Total Cash Invested</t>
        </is>
      </c>
    </row>
    <row r="20">
      <c r="A20" s="3" t="inlineStr">
        <is>
          <t xml:space="preserve">  Break-Even Occupancy = Rate of nights booked per year needed to cover all cash expenses</t>
        </is>
      </c>
    </row>
    <row r="21">
      <c r="A21" s="3" t="inlineStr"/>
    </row>
    <row r="22">
      <c r="A22" s="3" t="inlineStr">
        <is>
          <t>This workbook is a planning tool. It does not constitute financial, tax, or legal advice.</t>
        </is>
      </c>
    </row>
    <row r="23">
      <c r="A23" s="3" t="inlineStr">
        <is>
          <t>Verify local short-term-rental regulations, licensing, and taxes before purchasing a property.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</cols>
  <sheetData>
    <row r="1">
      <c r="A1" s="1" t="inlineStr">
        <is>
          <t>Inputs</t>
        </is>
      </c>
      <c r="C1" s="4" t="inlineStr">
        <is>
          <t>Yellow + blue cells = edit these. Everything else is a formula.</t>
        </is>
      </c>
    </row>
    <row r="3">
      <c r="A3" s="5" t="inlineStr">
        <is>
          <t>Property &amp; Purchase</t>
        </is>
      </c>
      <c r="B3" s="6" t="n"/>
      <c r="C3" s="6" t="n"/>
    </row>
    <row r="4">
      <c r="A4" s="3" t="inlineStr">
        <is>
          <t>Purchase price</t>
        </is>
      </c>
      <c r="B4" s="7" t="n">
        <v>325000</v>
      </c>
      <c r="C4" s="8" t="inlineStr">
        <is>
          <t>Example: mid-size STR in a secondary market</t>
        </is>
      </c>
    </row>
    <row r="5">
      <c r="A5" s="3" t="inlineStr">
        <is>
          <t>Closing costs (%  of price)</t>
        </is>
      </c>
      <c r="B5" s="9" t="n">
        <v>0.03</v>
      </c>
    </row>
    <row r="6">
      <c r="A6" s="3" t="inlineStr">
        <is>
          <t>Furnishing &amp; setup budget</t>
        </is>
      </c>
      <c r="B6" s="7" t="n">
        <v>16000</v>
      </c>
      <c r="C6" s="8" t="inlineStr">
        <is>
          <t>Furniture, photography, smart locks, linens, etc.</t>
        </is>
      </c>
    </row>
    <row r="7">
      <c r="A7" s="3" t="inlineStr">
        <is>
          <t>Down payment (%)</t>
        </is>
      </c>
      <c r="B7" s="9" t="n">
        <v>0.2</v>
      </c>
    </row>
    <row r="8">
      <c r="A8" s="3" t="inlineStr">
        <is>
          <t>Mortgage interest rate (annual)</t>
        </is>
      </c>
      <c r="B8" s="9" t="n">
        <v>0.065</v>
      </c>
    </row>
    <row r="9">
      <c r="A9" s="3" t="inlineStr">
        <is>
          <t>Loan term (years)</t>
        </is>
      </c>
      <c r="B9" s="10" t="n">
        <v>30</v>
      </c>
    </row>
    <row r="10"/>
    <row r="11">
      <c r="A11" s="5" t="inlineStr">
        <is>
          <t>Revenue Assumptions</t>
        </is>
      </c>
      <c r="B11" s="6" t="n"/>
      <c r="C11" s="6" t="n"/>
    </row>
    <row r="12">
      <c r="A12" s="3" t="inlineStr">
        <is>
          <t>Average nightly rate</t>
        </is>
      </c>
      <c r="B12" s="7" t="n">
        <v>215</v>
      </c>
    </row>
    <row r="13">
      <c r="A13" s="3" t="inlineStr">
        <is>
          <t>Expected occupancy rate</t>
        </is>
      </c>
      <c r="B13" s="9" t="n">
        <v>0.6</v>
      </c>
      <c r="C13" s="8" t="inlineStr">
        <is>
          <t>Nights booked / nights available, annual average</t>
        </is>
      </c>
    </row>
    <row r="14">
      <c r="A14" s="3" t="inlineStr">
        <is>
          <t>Cleaning fee per stay (pass-through)</t>
        </is>
      </c>
      <c r="B14" s="7" t="n">
        <v>90</v>
      </c>
    </row>
    <row r="15">
      <c r="A15" s="3" t="inlineStr">
        <is>
          <t>Average nights per booking</t>
        </is>
      </c>
      <c r="B15" s="11" t="n">
        <v>3.2</v>
      </c>
    </row>
    <row r="16">
      <c r="A16" s="3" t="inlineStr">
        <is>
          <t>Other income per year (parking, pet fee, etc.)</t>
        </is>
      </c>
      <c r="B16" s="7" t="n">
        <v>600</v>
      </c>
    </row>
    <row r="17">
      <c r="A17" s="3" t="inlineStr">
        <is>
          <t>Annual revenue growth rate (for 5-yr projection)</t>
        </is>
      </c>
      <c r="B17" s="9" t="n">
        <v>0.03</v>
      </c>
    </row>
    <row r="18">
      <c r="A18" s="3" t="inlineStr">
        <is>
          <t>Annual expense growth rate (for 5-yr projection)</t>
        </is>
      </c>
      <c r="B18" s="9" t="n">
        <v>0.025</v>
      </c>
    </row>
    <row r="19"/>
    <row r="20">
      <c r="A20" s="5" t="inlineStr">
        <is>
          <t>Operating Expenses (annual)</t>
        </is>
      </c>
      <c r="B20" s="6" t="n"/>
      <c r="C20" s="6" t="n"/>
    </row>
    <row r="21">
      <c r="A21" s="3" t="inlineStr">
        <is>
          <t>Property management fee (% of revenue)</t>
        </is>
      </c>
      <c r="B21" s="9" t="n">
        <v>0.18</v>
      </c>
    </row>
    <row r="22">
      <c r="A22" s="3" t="inlineStr">
        <is>
          <t>Platform fees, e.g. Airbnb/VRBO (% of revenue)</t>
        </is>
      </c>
      <c r="B22" s="9" t="n">
        <v>0.03</v>
      </c>
    </row>
    <row r="23">
      <c r="A23" s="3" t="inlineStr">
        <is>
          <t>Cleaning &amp; turnover cost (paid to cleaner)</t>
        </is>
      </c>
      <c r="B23" s="7" t="n">
        <v>75</v>
      </c>
      <c r="C23" s="8" t="inlineStr">
        <is>
          <t>Per turnover; usually close to the cleaning fee charged</t>
        </is>
      </c>
    </row>
    <row r="24">
      <c r="A24" s="3" t="inlineStr">
        <is>
          <t>Property taxes (annual)</t>
        </is>
      </c>
      <c r="B24" s="7" t="n">
        <v>3800</v>
      </c>
    </row>
    <row r="25">
      <c r="A25" s="3" t="inlineStr">
        <is>
          <t>Insurance, STR policy (annual)</t>
        </is>
      </c>
      <c r="B25" s="7" t="n">
        <v>2000</v>
      </c>
    </row>
    <row r="26">
      <c r="A26" s="3" t="inlineStr">
        <is>
          <t>Utilities (annual)</t>
        </is>
      </c>
      <c r="B26" s="7" t="n">
        <v>3200</v>
      </c>
    </row>
    <row r="27">
      <c r="A27" s="3" t="inlineStr">
        <is>
          <t>Internet, streaming, software (annual)</t>
        </is>
      </c>
      <c r="B27" s="7" t="n">
        <v>900</v>
      </c>
    </row>
    <row r="28">
      <c r="A28" s="3" t="inlineStr">
        <is>
          <t>Supplies &amp; consumables (annual)</t>
        </is>
      </c>
      <c r="B28" s="7" t="n">
        <v>1200</v>
      </c>
    </row>
    <row r="29">
      <c r="A29" s="3" t="inlineStr">
        <is>
          <t>HOA / licensing / permit fees (annual)</t>
        </is>
      </c>
      <c r="B29" s="7" t="n">
        <v>800</v>
      </c>
    </row>
    <row r="30">
      <c r="A30" s="3" t="inlineStr">
        <is>
          <t>Repairs &amp; maintenance reserve (% of revenue)</t>
        </is>
      </c>
      <c r="B30" s="9" t="n">
        <v>0.05</v>
      </c>
    </row>
    <row r="31"/>
    <row r="32">
      <c r="A32" s="5" t="inlineStr">
        <is>
          <t>Derived Purchase Numbers</t>
        </is>
      </c>
      <c r="B32" s="6" t="n"/>
      <c r="C32" s="6" t="n"/>
    </row>
    <row r="33">
      <c r="A33" s="2" t="inlineStr">
        <is>
          <t>Total cash to close (down payment + closing + furnishing)</t>
        </is>
      </c>
      <c r="B33" s="12">
        <f>B4*B7+B4*B5+B6</f>
        <v/>
      </c>
    </row>
    <row r="34">
      <c r="A34" s="3" t="inlineStr">
        <is>
          <t>Loan amount</t>
        </is>
      </c>
      <c r="B34" s="13">
        <f>B4*(1-B7)</f>
        <v/>
      </c>
    </row>
    <row r="35">
      <c r="A35" s="2" t="inlineStr">
        <is>
          <t>Monthly mortgage payment (P&amp;I)</t>
        </is>
      </c>
      <c r="B35" s="12">
        <f>-PMT(B8/12,B9*12,B34)</f>
        <v/>
      </c>
    </row>
    <row r="36"/>
  </sheetData>
  <mergeCells count="4">
    <mergeCell ref="A32:C32"/>
    <mergeCell ref="A20:C20"/>
    <mergeCell ref="A3:C3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ROI Dashboard</t>
        </is>
      </c>
    </row>
    <row r="2">
      <c r="A2" s="4" t="inlineStr">
        <is>
          <t>All values below are formulas driven by the Inputs tab. Nothing here needs editing.</t>
        </is>
      </c>
    </row>
    <row r="4">
      <c r="A4" s="5" t="inlineStr">
        <is>
          <t>Revenue</t>
        </is>
      </c>
      <c r="B4" s="6" t="n"/>
      <c r="C4" s="6" t="n"/>
    </row>
    <row r="5">
      <c r="A5" s="3" t="inlineStr">
        <is>
          <t>Annual nights booked</t>
        </is>
      </c>
      <c r="B5" s="14">
        <f>365*Inputs!$B$13</f>
        <v/>
      </c>
    </row>
    <row r="6">
      <c r="A6" s="3" t="inlineStr">
        <is>
          <t>Number of bookings per year</t>
        </is>
      </c>
      <c r="B6" s="15">
        <f>B5/Inputs!$B$15</f>
        <v/>
      </c>
    </row>
    <row r="7">
      <c r="A7" s="3" t="inlineStr">
        <is>
          <t>Gross rental revenue</t>
        </is>
      </c>
      <c r="B7" s="13">
        <f>Inputs!$B$12*B5</f>
        <v/>
      </c>
    </row>
    <row r="8">
      <c r="A8" s="3" t="inlineStr">
        <is>
          <t>Cleaning fee revenue (pass-through)</t>
        </is>
      </c>
      <c r="B8" s="13">
        <f>Inputs!$B$14*B6</f>
        <v/>
      </c>
    </row>
    <row r="9">
      <c r="A9" s="3" t="inlineStr">
        <is>
          <t>Other income</t>
        </is>
      </c>
      <c r="B9" s="13">
        <f>Inputs!$B$16</f>
        <v/>
      </c>
    </row>
    <row r="10">
      <c r="A10" s="2" t="inlineStr">
        <is>
          <t>Total revenue</t>
        </is>
      </c>
      <c r="B10" s="12">
        <f>SUM(B7:B9)</f>
        <v/>
      </c>
    </row>
    <row r="12">
      <c r="A12" s="5" t="inlineStr">
        <is>
          <t>Operating Expenses</t>
        </is>
      </c>
      <c r="B12" s="6" t="n"/>
      <c r="C12" s="6" t="n"/>
    </row>
    <row r="13">
      <c r="A13" s="3" t="inlineStr">
        <is>
          <t>Property management fee</t>
        </is>
      </c>
      <c r="B13" s="13">
        <f>Inputs!$B$21*B10</f>
        <v/>
      </c>
    </row>
    <row r="14">
      <c r="A14" s="3" t="inlineStr">
        <is>
          <t>Platform fees</t>
        </is>
      </c>
      <c r="B14" s="13">
        <f>Inputs!$B$22*B10</f>
        <v/>
      </c>
    </row>
    <row r="15">
      <c r="A15" s="3" t="inlineStr">
        <is>
          <t>Cleaning cost (paid to cleaner)</t>
        </is>
      </c>
      <c r="B15" s="13">
        <f>Inputs!$B$23*B6</f>
        <v/>
      </c>
    </row>
    <row r="16">
      <c r="A16" s="3" t="inlineStr">
        <is>
          <t>Repairs &amp; maintenance reserve</t>
        </is>
      </c>
      <c r="B16" s="13">
        <f>Inputs!$B$30*B10</f>
        <v/>
      </c>
    </row>
    <row r="17">
      <c r="A17" s="3" t="inlineStr">
        <is>
          <t>Property taxes</t>
        </is>
      </c>
      <c r="B17" s="13">
        <f>Inputs!$B$24</f>
        <v/>
      </c>
    </row>
    <row r="18">
      <c r="A18" s="3" t="inlineStr">
        <is>
          <t>Insurance</t>
        </is>
      </c>
      <c r="B18" s="13">
        <f>Inputs!$B$25</f>
        <v/>
      </c>
    </row>
    <row r="19">
      <c r="A19" s="3" t="inlineStr">
        <is>
          <t>Utilities</t>
        </is>
      </c>
      <c r="B19" s="13">
        <f>Inputs!$B$26</f>
        <v/>
      </c>
    </row>
    <row r="20">
      <c r="A20" s="3" t="inlineStr">
        <is>
          <t>Internet, streaming, software</t>
        </is>
      </c>
      <c r="B20" s="13">
        <f>Inputs!$B$27</f>
        <v/>
      </c>
    </row>
    <row r="21">
      <c r="A21" s="3" t="inlineStr">
        <is>
          <t>Supplies &amp; consumables</t>
        </is>
      </c>
      <c r="B21" s="13">
        <f>Inputs!$B$28</f>
        <v/>
      </c>
    </row>
    <row r="22">
      <c r="A22" s="3" t="inlineStr">
        <is>
          <t>HOA / licensing / permits</t>
        </is>
      </c>
      <c r="B22" s="13">
        <f>Inputs!$B$29</f>
        <v/>
      </c>
    </row>
    <row r="23">
      <c r="A23" s="2" t="inlineStr">
        <is>
          <t>Total operating expenses</t>
        </is>
      </c>
      <c r="B23" s="12">
        <f>SUM(B13:B22)</f>
        <v/>
      </c>
    </row>
    <row r="25">
      <c r="A25" s="5" t="inlineStr">
        <is>
          <t>Net Operating Income &amp; Cash Flow</t>
        </is>
      </c>
      <c r="B25" s="6" t="n"/>
      <c r="C25" s="6" t="n"/>
    </row>
    <row r="26">
      <c r="A26" s="2" t="inlineStr">
        <is>
          <t>Net Operating Income (NOI)</t>
        </is>
      </c>
      <c r="B26" s="12">
        <f>B10-B23</f>
        <v/>
      </c>
    </row>
    <row r="27">
      <c r="A27" s="3" t="inlineStr">
        <is>
          <t>Annual debt service (mortgage P&amp;I)</t>
        </is>
      </c>
      <c r="B27" s="13">
        <f>Inputs!$B$35*12</f>
        <v/>
      </c>
    </row>
    <row r="28">
      <c r="A28" s="2" t="inlineStr">
        <is>
          <t>Annual cash flow (pre-tax)</t>
        </is>
      </c>
      <c r="B28" s="12">
        <f>B26-B27</f>
        <v/>
      </c>
    </row>
    <row r="29">
      <c r="A29" s="2" t="inlineStr">
        <is>
          <t>Monthly cash flow (pre-tax)</t>
        </is>
      </c>
      <c r="B29" s="12">
        <f>B28/12</f>
        <v/>
      </c>
    </row>
    <row r="31">
      <c r="A31" s="5" t="inlineStr">
        <is>
          <t>Investment Returns</t>
        </is>
      </c>
      <c r="B31" s="6" t="n"/>
      <c r="C31" s="6" t="n"/>
    </row>
    <row r="32">
      <c r="A32" s="3" t="inlineStr">
        <is>
          <t>Total cash invested (down payment + closing + furnishing)</t>
        </is>
      </c>
      <c r="B32" s="13">
        <f>Inputs!$B$33</f>
        <v/>
      </c>
    </row>
    <row r="33">
      <c r="A33" s="2" t="inlineStr">
        <is>
          <t>Cap rate  (NOI / purchase price)</t>
        </is>
      </c>
      <c r="B33" s="16">
        <f>B26/Inputs!$B$4</f>
        <v/>
      </c>
    </row>
    <row r="34">
      <c r="A34" s="2" t="inlineStr">
        <is>
          <t>Cash-on-cash return  (cash flow / cash invested)</t>
        </is>
      </c>
      <c r="B34" s="16">
        <f>B28/B32</f>
        <v/>
      </c>
    </row>
    <row r="36">
      <c r="A36" s="5" t="inlineStr">
        <is>
          <t>Break-Even Occupancy (helper calculation)</t>
        </is>
      </c>
      <c r="B36" s="6" t="n"/>
      <c r="C36" s="6" t="n"/>
    </row>
    <row r="37">
      <c r="A37" s="3" t="inlineStr">
        <is>
          <t>Revenue per occupancy point  (365 x (ADR + cleaning fee / nights per stay))</t>
        </is>
      </c>
      <c r="B37" s="17">
        <f>365*(Inputs!$B$12+Inputs!$B$14/Inputs!$B$15)</f>
        <v/>
      </c>
    </row>
    <row r="38">
      <c r="A38" s="3" t="inlineStr">
        <is>
          <t>Margin retained after %-of-revenue costs</t>
        </is>
      </c>
      <c r="B38" s="18">
        <f>1-(Inputs!$B$21+Inputs!$B$22+Inputs!$B$30)</f>
        <v/>
      </c>
    </row>
    <row r="39">
      <c r="A39" s="3" t="inlineStr">
        <is>
          <t>Variable cleaning cost per occupancy point  (365 x cleaning cost / nights per stay)</t>
        </is>
      </c>
      <c r="B39" s="17">
        <f>365*Inputs!$B$23/Inputs!$B$15</f>
        <v/>
      </c>
    </row>
    <row r="40">
      <c r="A40" s="3" t="inlineStr">
        <is>
          <t>Fixed annual costs  (taxes+insurance+utilities+internet+supplies+HOA+debt service)</t>
        </is>
      </c>
      <c r="B40" s="13">
        <f>B17+B18+B19+B20+B21+B22+B27</f>
        <v/>
      </c>
    </row>
    <row r="41">
      <c r="A41" s="2" t="inlineStr">
        <is>
          <t>Break-even occupancy rate</t>
        </is>
      </c>
      <c r="B41" s="16">
        <f>(B40-B38*Inputs!$B$16)/(B38*B37-B39)</f>
        <v/>
      </c>
    </row>
    <row r="42">
      <c r="A42" s="2" t="inlineStr">
        <is>
          <t>Break-even nights booked per year</t>
        </is>
      </c>
      <c r="B42" s="19">
        <f>B41*365</f>
        <v/>
      </c>
    </row>
    <row r="44">
      <c r="A44" s="5" t="inlineStr">
        <is>
          <t>5-Year Projection</t>
        </is>
      </c>
      <c r="B44" s="6" t="n"/>
      <c r="C44" s="6" t="n"/>
    </row>
    <row r="45">
      <c r="A45" s="3" t="inlineStr"/>
      <c r="B45" s="20" t="inlineStr">
        <is>
          <t>Year 1</t>
        </is>
      </c>
      <c r="C45" s="20" t="inlineStr">
        <is>
          <t>Year 2</t>
        </is>
      </c>
      <c r="D45" s="20" t="inlineStr">
        <is>
          <t>Year 3</t>
        </is>
      </c>
      <c r="E45" s="20" t="inlineStr">
        <is>
          <t>Year 4</t>
        </is>
      </c>
      <c r="F45" s="20" t="inlineStr">
        <is>
          <t>Year 5</t>
        </is>
      </c>
    </row>
    <row r="46">
      <c r="A46" s="2" t="inlineStr">
        <is>
          <t>Total revenue</t>
        </is>
      </c>
      <c r="B46" s="12">
        <f>B10</f>
        <v/>
      </c>
      <c r="C46" s="12">
        <f>B46*(1+Inputs!$B$17)</f>
        <v/>
      </c>
      <c r="D46" s="12">
        <f>C46*(1+Inputs!$B$17)</f>
        <v/>
      </c>
      <c r="E46" s="12">
        <f>D46*(1+Inputs!$B$17)</f>
        <v/>
      </c>
      <c r="F46" s="12">
        <f>E46*(1+Inputs!$B$17)</f>
        <v/>
      </c>
    </row>
    <row r="47">
      <c r="A47" s="3" t="inlineStr">
        <is>
          <t>Total operating expenses</t>
        </is>
      </c>
      <c r="B47" s="13">
        <f>B23</f>
        <v/>
      </c>
      <c r="C47" s="13">
        <f>B47*(1+Inputs!$B$18)</f>
        <v/>
      </c>
      <c r="D47" s="13">
        <f>C47*(1+Inputs!$B$18)</f>
        <v/>
      </c>
      <c r="E47" s="13">
        <f>D47*(1+Inputs!$B$18)</f>
        <v/>
      </c>
      <c r="F47" s="13">
        <f>E47*(1+Inputs!$B$18)</f>
        <v/>
      </c>
    </row>
    <row r="48">
      <c r="A48" s="2" t="inlineStr">
        <is>
          <t>NOI</t>
        </is>
      </c>
      <c r="B48" s="12">
        <f>B46-B47</f>
        <v/>
      </c>
      <c r="C48" s="12">
        <f>C46-C47</f>
        <v/>
      </c>
      <c r="D48" s="12">
        <f>D46-D47</f>
        <v/>
      </c>
      <c r="E48" s="12">
        <f>E46-E47</f>
        <v/>
      </c>
      <c r="F48" s="12">
        <f>F46-F47</f>
        <v/>
      </c>
    </row>
    <row r="49">
      <c r="A49" s="3" t="inlineStr">
        <is>
          <t>Annual debt service</t>
        </is>
      </c>
      <c r="B49" s="13">
        <f>$B$27</f>
        <v/>
      </c>
      <c r="C49" s="13">
        <f>$B$27</f>
        <v/>
      </c>
      <c r="D49" s="13">
        <f>$B$27</f>
        <v/>
      </c>
      <c r="E49" s="13">
        <f>$B$27</f>
        <v/>
      </c>
      <c r="F49" s="13">
        <f>$B$27</f>
        <v/>
      </c>
    </row>
    <row r="50">
      <c r="A50" s="2" t="inlineStr">
        <is>
          <t>Cash flow (pre-tax)</t>
        </is>
      </c>
      <c r="B50" s="12">
        <f>B48-B49</f>
        <v/>
      </c>
      <c r="C50" s="12">
        <f>C48-C49</f>
        <v/>
      </c>
      <c r="D50" s="12">
        <f>D48-D49</f>
        <v/>
      </c>
      <c r="E50" s="12">
        <f>E48-E49</f>
        <v/>
      </c>
      <c r="F50" s="12">
        <f>F48-F49</f>
        <v/>
      </c>
    </row>
    <row r="51">
      <c r="A51" s="2" t="inlineStr">
        <is>
          <t>Cumulative cash flow</t>
        </is>
      </c>
      <c r="B51" s="21">
        <f>B50</f>
        <v/>
      </c>
      <c r="C51" s="21">
        <f>B51+C50</f>
        <v/>
      </c>
      <c r="D51" s="21">
        <f>C51+D50</f>
        <v/>
      </c>
      <c r="E51" s="21">
        <f>D51+E50</f>
        <v/>
      </c>
      <c r="F51" s="21">
        <f>E51+F50</f>
        <v/>
      </c>
    </row>
  </sheetData>
  <mergeCells count="6">
    <mergeCell ref="A25:C25"/>
    <mergeCell ref="A36:C36"/>
    <mergeCell ref="A44:C44"/>
    <mergeCell ref="A31:C31"/>
    <mergeCell ref="A12:C12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Monthly Cash Flow (Year 1)</t>
        </is>
      </c>
    </row>
    <row r="2">
      <c r="A2" s="4" t="inlineStr">
        <is>
          <t>Edit the seasonality factor per month (yellow). 1.00 = average month; 1.30 = 30% above average.</t>
        </is>
      </c>
    </row>
    <row r="4">
      <c r="A4" s="2" t="inlineStr">
        <is>
          <t>Month</t>
        </is>
      </c>
      <c r="B4" s="20" t="inlineStr">
        <is>
          <t>Jan</t>
        </is>
      </c>
      <c r="C4" s="20" t="inlineStr">
        <is>
          <t>Feb</t>
        </is>
      </c>
      <c r="D4" s="20" t="inlineStr">
        <is>
          <t>Mar</t>
        </is>
      </c>
      <c r="E4" s="20" t="inlineStr">
        <is>
          <t>Apr</t>
        </is>
      </c>
      <c r="F4" s="20" t="inlineStr">
        <is>
          <t>May</t>
        </is>
      </c>
      <c r="G4" s="20" t="inlineStr">
        <is>
          <t>Jun</t>
        </is>
      </c>
      <c r="H4" s="20" t="inlineStr">
        <is>
          <t>Jul</t>
        </is>
      </c>
      <c r="I4" s="20" t="inlineStr">
        <is>
          <t>Aug</t>
        </is>
      </c>
      <c r="J4" s="20" t="inlineStr">
        <is>
          <t>Sep</t>
        </is>
      </c>
      <c r="K4" s="20" t="inlineStr">
        <is>
          <t>Oct</t>
        </is>
      </c>
      <c r="L4" s="20" t="inlineStr">
        <is>
          <t>Nov</t>
        </is>
      </c>
      <c r="M4" s="20" t="inlineStr">
        <is>
          <t>Dec</t>
        </is>
      </c>
      <c r="N4" s="22" t="inlineStr">
        <is>
          <t>Total</t>
        </is>
      </c>
    </row>
    <row r="5">
      <c r="A5" s="3" t="inlineStr">
        <is>
          <t>Seasonality factor</t>
        </is>
      </c>
      <c r="B5" s="23" t="n">
        <v>0.75</v>
      </c>
      <c r="C5" s="23" t="n">
        <v>0.8</v>
      </c>
      <c r="D5" s="23" t="n">
        <v>0.95</v>
      </c>
      <c r="E5" s="23" t="n">
        <v>1.05</v>
      </c>
      <c r="F5" s="23" t="n">
        <v>1.1</v>
      </c>
      <c r="G5" s="23" t="n">
        <v>1.25</v>
      </c>
      <c r="H5" s="23" t="n">
        <v>1.35</v>
      </c>
      <c r="I5" s="23" t="n">
        <v>1.3</v>
      </c>
      <c r="J5" s="23" t="n">
        <v>1.05</v>
      </c>
      <c r="K5" s="23" t="n">
        <v>0.95</v>
      </c>
      <c r="L5" s="23" t="n">
        <v>0.8</v>
      </c>
      <c r="M5" s="23" t="n">
        <v>0.85</v>
      </c>
      <c r="N5" s="24">
        <f>AVERAGE(B5:M5)</f>
        <v/>
      </c>
    </row>
    <row r="6">
      <c r="A6" s="2" t="inlineStr">
        <is>
          <t>Revenue</t>
        </is>
      </c>
      <c r="B6" s="13">
        <f>B5/$N$5*'ROI Dashboard'!$B$10/12</f>
        <v/>
      </c>
      <c r="C6" s="13">
        <f>C5/$N$5*'ROI Dashboard'!$B$10/12</f>
        <v/>
      </c>
      <c r="D6" s="13">
        <f>D5/$N$5*'ROI Dashboard'!$B$10/12</f>
        <v/>
      </c>
      <c r="E6" s="13">
        <f>E5/$N$5*'ROI Dashboard'!$B$10/12</f>
        <v/>
      </c>
      <c r="F6" s="13">
        <f>F5/$N$5*'ROI Dashboard'!$B$10/12</f>
        <v/>
      </c>
      <c r="G6" s="13">
        <f>G5/$N$5*'ROI Dashboard'!$B$10/12</f>
        <v/>
      </c>
      <c r="H6" s="13">
        <f>H5/$N$5*'ROI Dashboard'!$B$10/12</f>
        <v/>
      </c>
      <c r="I6" s="13">
        <f>I5/$N$5*'ROI Dashboard'!$B$10/12</f>
        <v/>
      </c>
      <c r="J6" s="13">
        <f>J5/$N$5*'ROI Dashboard'!$B$10/12</f>
        <v/>
      </c>
      <c r="K6" s="13">
        <f>K5/$N$5*'ROI Dashboard'!$B$10/12</f>
        <v/>
      </c>
      <c r="L6" s="13">
        <f>L5/$N$5*'ROI Dashboard'!$B$10/12</f>
        <v/>
      </c>
      <c r="M6" s="13">
        <f>M5/$N$5*'ROI Dashboard'!$B$10/12</f>
        <v/>
      </c>
      <c r="N6" s="12">
        <f>SUM(B6:M6)</f>
        <v/>
      </c>
    </row>
    <row r="7">
      <c r="A7" s="3" t="inlineStr">
        <is>
          <t>Operating expenses</t>
        </is>
      </c>
      <c r="B7" s="13">
        <f>B5/$N$5*'ROI Dashboard'!$B$23/12</f>
        <v/>
      </c>
      <c r="C7" s="13">
        <f>C5/$N$5*'ROI Dashboard'!$B$23/12</f>
        <v/>
      </c>
      <c r="D7" s="13">
        <f>D5/$N$5*'ROI Dashboard'!$B$23/12</f>
        <v/>
      </c>
      <c r="E7" s="13">
        <f>E5/$N$5*'ROI Dashboard'!$B$23/12</f>
        <v/>
      </c>
      <c r="F7" s="13">
        <f>F5/$N$5*'ROI Dashboard'!$B$23/12</f>
        <v/>
      </c>
      <c r="G7" s="13">
        <f>G5/$N$5*'ROI Dashboard'!$B$23/12</f>
        <v/>
      </c>
      <c r="H7" s="13">
        <f>H5/$N$5*'ROI Dashboard'!$B$23/12</f>
        <v/>
      </c>
      <c r="I7" s="13">
        <f>I5/$N$5*'ROI Dashboard'!$B$23/12</f>
        <v/>
      </c>
      <c r="J7" s="13">
        <f>J5/$N$5*'ROI Dashboard'!$B$23/12</f>
        <v/>
      </c>
      <c r="K7" s="13">
        <f>K5/$N$5*'ROI Dashboard'!$B$23/12</f>
        <v/>
      </c>
      <c r="L7" s="13">
        <f>L5/$N$5*'ROI Dashboard'!$B$23/12</f>
        <v/>
      </c>
      <c r="M7" s="13">
        <f>M5/$N$5*'ROI Dashboard'!$B$23/12</f>
        <v/>
      </c>
      <c r="N7" s="12">
        <f>SUM(B7:M7)</f>
        <v/>
      </c>
    </row>
    <row r="8">
      <c r="A8" s="3" t="inlineStr">
        <is>
          <t>Mortgage payment (P&amp;I)</t>
        </is>
      </c>
      <c r="B8" s="13">
        <f>Inputs!$B$35</f>
        <v/>
      </c>
      <c r="C8" s="13">
        <f>Inputs!$B$35</f>
        <v/>
      </c>
      <c r="D8" s="13">
        <f>Inputs!$B$35</f>
        <v/>
      </c>
      <c r="E8" s="13">
        <f>Inputs!$B$35</f>
        <v/>
      </c>
      <c r="F8" s="13">
        <f>Inputs!$B$35</f>
        <v/>
      </c>
      <c r="G8" s="13">
        <f>Inputs!$B$35</f>
        <v/>
      </c>
      <c r="H8" s="13">
        <f>Inputs!$B$35</f>
        <v/>
      </c>
      <c r="I8" s="13">
        <f>Inputs!$B$35</f>
        <v/>
      </c>
      <c r="J8" s="13">
        <f>Inputs!$B$35</f>
        <v/>
      </c>
      <c r="K8" s="13">
        <f>Inputs!$B$35</f>
        <v/>
      </c>
      <c r="L8" s="13">
        <f>Inputs!$B$35</f>
        <v/>
      </c>
      <c r="M8" s="13">
        <f>Inputs!$B$35</f>
        <v/>
      </c>
      <c r="N8" s="12">
        <f>SUM(B8:M8)</f>
        <v/>
      </c>
    </row>
    <row r="9">
      <c r="A9" s="2" t="inlineStr">
        <is>
          <t>Net cash flow</t>
        </is>
      </c>
      <c r="B9" s="12">
        <f>B6-B7-B8</f>
        <v/>
      </c>
      <c r="C9" s="12">
        <f>C6-C7-C8</f>
        <v/>
      </c>
      <c r="D9" s="12">
        <f>D6-D7-D8</f>
        <v/>
      </c>
      <c r="E9" s="12">
        <f>E6-E7-E8</f>
        <v/>
      </c>
      <c r="F9" s="12">
        <f>F6-F7-F8</f>
        <v/>
      </c>
      <c r="G9" s="12">
        <f>G6-G7-G8</f>
        <v/>
      </c>
      <c r="H9" s="12">
        <f>H6-H7-H8</f>
        <v/>
      </c>
      <c r="I9" s="12">
        <f>I6-I7-I8</f>
        <v/>
      </c>
      <c r="J9" s="12">
        <f>J6-J7-J8</f>
        <v/>
      </c>
      <c r="K9" s="12">
        <f>K6-K7-K8</f>
        <v/>
      </c>
      <c r="L9" s="12">
        <f>L6-L7-L8</f>
        <v/>
      </c>
      <c r="M9" s="12">
        <f>M6-M7-M8</f>
        <v/>
      </c>
      <c r="N9" s="12">
        <f>SUM(B9:M9)</f>
        <v/>
      </c>
    </row>
    <row r="10">
      <c r="A10" s="2" t="inlineStr">
        <is>
          <t>Cumulative cash flow</t>
        </is>
      </c>
      <c r="B10" s="21">
        <f>B9</f>
        <v/>
      </c>
      <c r="C10" s="21">
        <f>B10+C9</f>
        <v/>
      </c>
      <c r="D10" s="21">
        <f>C10+D9</f>
        <v/>
      </c>
      <c r="E10" s="21">
        <f>D10+E9</f>
        <v/>
      </c>
      <c r="F10" s="21">
        <f>E10+F9</f>
        <v/>
      </c>
      <c r="G10" s="21">
        <f>F10+G9</f>
        <v/>
      </c>
      <c r="H10" s="21">
        <f>G10+H9</f>
        <v/>
      </c>
      <c r="I10" s="21">
        <f>H10+I9</f>
        <v/>
      </c>
      <c r="J10" s="21">
        <f>I10+J9</f>
        <v/>
      </c>
      <c r="K10" s="21">
        <f>J10+K9</f>
        <v/>
      </c>
      <c r="L10" s="21">
        <f>K10+L9</f>
        <v/>
      </c>
      <c r="M10" s="21">
        <f>L10+M9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2026-07-20T04:10:33Z</dcterms:created>
  <dcterms:modified xsi:type="dcterms:W3CDTF">2026-07-20T04:10:33Z</dcterms:modified>
</cp:coreProperties>
</file>