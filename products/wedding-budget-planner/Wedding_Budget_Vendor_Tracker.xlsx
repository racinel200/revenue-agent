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Budget Overview" sheetId="2" state="visible" r:id="rId2"/>
    <sheet name="Vendor &amp; Paymen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(0.0%);&quot;-&quot;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E4B6B"/>
        <bgColor rgb="008E4B6B"/>
      </patternFill>
    </fill>
    <fill>
      <patternFill patternType="solid">
        <fgColor rgb="00F3D9E2"/>
        <bgColor rgb="00F3D9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0" fontId="5" fillId="3" borderId="0" applyAlignment="1" pivotButton="0" quotePrefix="0" xfId="0">
      <alignment indent="1"/>
    </xf>
    <xf numFmtId="0" fontId="0" fillId="3" borderId="0" pivotButton="0" quotePrefix="0" xfId="0"/>
    <xf numFmtId="0" fontId="2" fillId="4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Wedding Budget &amp; Vendor Payment Tracker</t>
        </is>
      </c>
    </row>
    <row r="2">
      <c r="A2" s="2" t="inlineStr">
        <is>
          <t>How to use this workbook</t>
        </is>
      </c>
    </row>
    <row r="3">
      <c r="A3" s="3" t="inlineStr"/>
    </row>
    <row r="4">
      <c r="A4" s="3" t="inlineStr">
        <is>
          <t>1. Go to the 'Budget Overview' tab. Set your total wedding budget in the yellow cell at</t>
        </is>
      </c>
    </row>
    <row r="5">
      <c r="A5" s="3" t="inlineStr">
        <is>
          <t xml:space="preserve">   the top, then edit the 'Planned Budget' column (yellow) for each category.</t>
        </is>
      </c>
    </row>
    <row r="6">
      <c r="A6" s="3" t="inlineStr">
        <is>
          <t>2. Go to the 'Vendor &amp; Payment Tracker' tab. Add one row per vendor: contract total,</t>
        </is>
      </c>
    </row>
    <row r="7">
      <c r="A7" s="3" t="inlineStr">
        <is>
          <t xml:space="preserve">   deposit amount, due dates, and paid status. Match the Category column exactly to a</t>
        </is>
      </c>
    </row>
    <row r="8">
      <c r="A8" s="3" t="inlineStr">
        <is>
          <t xml:space="preserve">   category name from Budget Overview so the totals roll up correctly.</t>
        </is>
      </c>
    </row>
    <row r="9">
      <c r="A9" s="3" t="inlineStr">
        <is>
          <t>3. The 'Actual Spent' and 'Difference' columns on Budget Overview update automatically —</t>
        </is>
      </c>
    </row>
    <row r="10">
      <c r="A10" s="3" t="inlineStr">
        <is>
          <t xml:space="preserve">   they sum every vendor row tagged with that category. Nothing there needs editing.</t>
        </is>
      </c>
    </row>
    <row r="11">
      <c r="A11" s="3" t="inlineStr">
        <is>
          <t>4. 'Balance Due' on the Vendor tab is Contract Total minus Deposit Amount — a live formula,</t>
        </is>
      </c>
    </row>
    <row r="12">
      <c r="A12" s="3" t="inlineStr">
        <is>
          <t xml:space="preserve">   not a typed number.</t>
        </is>
      </c>
    </row>
    <row r="13">
      <c r="A13" s="3" t="inlineStr">
        <is>
          <t>5. Replace the example rows with your own vendors; delete the examples once you no longer</t>
        </is>
      </c>
    </row>
    <row r="14">
      <c r="A14" s="3" t="inlineStr">
        <is>
          <t xml:space="preserve">   need them as a reference.</t>
        </is>
      </c>
    </row>
    <row r="15">
      <c r="A15" s="3" t="inlineStr"/>
    </row>
    <row r="16">
      <c r="A16" s="3" t="inlineStr">
        <is>
          <t>This workbook is a planning tool. It does not constitute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Budget Overview</t>
        </is>
      </c>
    </row>
    <row r="3">
      <c r="A3" s="2" t="inlineStr">
        <is>
          <t>Total wedding budget</t>
        </is>
      </c>
      <c r="B3" s="4" t="n">
        <v>30000</v>
      </c>
    </row>
    <row r="5">
      <c r="A5" s="5" t="inlineStr">
        <is>
          <t>By Category</t>
        </is>
      </c>
      <c r="B5" s="6" t="n"/>
      <c r="C5" s="6" t="n"/>
      <c r="D5" s="6" t="n"/>
      <c r="E5" s="6" t="n"/>
    </row>
    <row r="6">
      <c r="A6" s="7" t="inlineStr">
        <is>
          <t>Category</t>
        </is>
      </c>
      <c r="B6" s="7" t="inlineStr">
        <is>
          <t>Planned Budget</t>
        </is>
      </c>
      <c r="C6" s="7" t="inlineStr">
        <is>
          <t>Actual Spent</t>
        </is>
      </c>
      <c r="D6" s="7" t="inlineStr">
        <is>
          <t>Difference (Planned - Actual)</t>
        </is>
      </c>
      <c r="E6" s="7" t="inlineStr">
        <is>
          <t>% of Total Budget</t>
        </is>
      </c>
    </row>
    <row r="7">
      <c r="A7" s="8" t="inlineStr">
        <is>
          <t>Venue &amp; Rentals</t>
        </is>
      </c>
      <c r="B7" s="4" t="n">
        <v>9000</v>
      </c>
      <c r="C7" s="9">
        <f>SUMIF('Vendor &amp; Payment Tracker'!$A$4:$A$16,A7,'Vendor &amp; Payment Tracker'!$D$4:$D$16)</f>
        <v/>
      </c>
      <c r="D7" s="9">
        <f>B7-C7</f>
        <v/>
      </c>
      <c r="E7" s="10">
        <f>B7/B3</f>
        <v/>
      </c>
    </row>
    <row r="8">
      <c r="A8" s="8" t="inlineStr">
        <is>
          <t>Catering &amp; Bar</t>
        </is>
      </c>
      <c r="B8" s="4" t="n">
        <v>7500</v>
      </c>
      <c r="C8" s="9">
        <f>SUMIF('Vendor &amp; Payment Tracker'!$A$4:$A$16,A8,'Vendor &amp; Payment Tracker'!$D$4:$D$16)</f>
        <v/>
      </c>
      <c r="D8" s="9">
        <f>B8-C8</f>
        <v/>
      </c>
      <c r="E8" s="10">
        <f>B8/B3</f>
        <v/>
      </c>
    </row>
    <row r="9">
      <c r="A9" s="8" t="inlineStr">
        <is>
          <t>Photography &amp; Video</t>
        </is>
      </c>
      <c r="B9" s="4" t="n">
        <v>3000</v>
      </c>
      <c r="C9" s="9">
        <f>SUMIF('Vendor &amp; Payment Tracker'!$A$4:$A$16,A9,'Vendor &amp; Payment Tracker'!$D$4:$D$16)</f>
        <v/>
      </c>
      <c r="D9" s="9">
        <f>B9-C9</f>
        <v/>
      </c>
      <c r="E9" s="10">
        <f>B9/B3</f>
        <v/>
      </c>
    </row>
    <row r="10">
      <c r="A10" s="8" t="inlineStr">
        <is>
          <t>Wedding Attire</t>
        </is>
      </c>
      <c r="B10" s="4" t="n">
        <v>1500</v>
      </c>
      <c r="C10" s="9">
        <f>SUMIF('Vendor &amp; Payment Tracker'!$A$4:$A$16,A10,'Vendor &amp; Payment Tracker'!$D$4:$D$16)</f>
        <v/>
      </c>
      <c r="D10" s="9">
        <f>B10-C10</f>
        <v/>
      </c>
      <c r="E10" s="10">
        <f>B10/B3</f>
        <v/>
      </c>
    </row>
    <row r="11">
      <c r="A11" s="8" t="inlineStr">
        <is>
          <t>Hair &amp; Makeup</t>
        </is>
      </c>
      <c r="B11" s="4" t="n">
        <v>600</v>
      </c>
      <c r="C11" s="9">
        <f>SUMIF('Vendor &amp; Payment Tracker'!$A$4:$A$16,A11,'Vendor &amp; Payment Tracker'!$D$4:$D$16)</f>
        <v/>
      </c>
      <c r="D11" s="9">
        <f>B11-C11</f>
        <v/>
      </c>
      <c r="E11" s="10">
        <f>B11/B3</f>
        <v/>
      </c>
    </row>
    <row r="12">
      <c r="A12" s="8" t="inlineStr">
        <is>
          <t>Flowers &amp; Decor</t>
        </is>
      </c>
      <c r="B12" s="4" t="n">
        <v>2100</v>
      </c>
      <c r="C12" s="9">
        <f>SUMIF('Vendor &amp; Payment Tracker'!$A$4:$A$16,A12,'Vendor &amp; Payment Tracker'!$D$4:$D$16)</f>
        <v/>
      </c>
      <c r="D12" s="9">
        <f>B12-C12</f>
        <v/>
      </c>
      <c r="E12" s="10">
        <f>B12/B3</f>
        <v/>
      </c>
    </row>
    <row r="13">
      <c r="A13" s="8" t="inlineStr">
        <is>
          <t>Music &amp; Entertainment</t>
        </is>
      </c>
      <c r="B13" s="4" t="n">
        <v>1800</v>
      </c>
      <c r="C13" s="9">
        <f>SUMIF('Vendor &amp; Payment Tracker'!$A$4:$A$16,A13,'Vendor &amp; Payment Tracker'!$D$4:$D$16)</f>
        <v/>
      </c>
      <c r="D13" s="9">
        <f>B13-C13</f>
        <v/>
      </c>
      <c r="E13" s="10">
        <f>B13/B3</f>
        <v/>
      </c>
    </row>
    <row r="14">
      <c r="A14" s="8" t="inlineStr">
        <is>
          <t>Invitations &amp; Stationery</t>
        </is>
      </c>
      <c r="B14" s="4" t="n">
        <v>450</v>
      </c>
      <c r="C14" s="9">
        <f>SUMIF('Vendor &amp; Payment Tracker'!$A$4:$A$16,A14,'Vendor &amp; Payment Tracker'!$D$4:$D$16)</f>
        <v/>
      </c>
      <c r="D14" s="9">
        <f>B14-C14</f>
        <v/>
      </c>
      <c r="E14" s="10">
        <f>B14/B3</f>
        <v/>
      </c>
    </row>
    <row r="15">
      <c r="A15" s="8" t="inlineStr">
        <is>
          <t>Wedding Cake &amp; Desserts</t>
        </is>
      </c>
      <c r="B15" s="4" t="n">
        <v>600</v>
      </c>
      <c r="C15" s="9">
        <f>SUMIF('Vendor &amp; Payment Tracker'!$A$4:$A$16,A15,'Vendor &amp; Payment Tracker'!$D$4:$D$16)</f>
        <v/>
      </c>
      <c r="D15" s="9">
        <f>B15-C15</f>
        <v/>
      </c>
      <c r="E15" s="10">
        <f>B15/B3</f>
        <v/>
      </c>
    </row>
    <row r="16">
      <c r="A16" s="8" t="inlineStr">
        <is>
          <t>Transportation</t>
        </is>
      </c>
      <c r="B16" s="4" t="n">
        <v>450</v>
      </c>
      <c r="C16" s="9">
        <f>SUMIF('Vendor &amp; Payment Tracker'!$A$4:$A$16,A16,'Vendor &amp; Payment Tracker'!$D$4:$D$16)</f>
        <v/>
      </c>
      <c r="D16" s="9">
        <f>B16-C16</f>
        <v/>
      </c>
      <c r="E16" s="10">
        <f>B16/B3</f>
        <v/>
      </c>
    </row>
    <row r="17">
      <c r="A17" s="8" t="inlineStr">
        <is>
          <t>Rings</t>
        </is>
      </c>
      <c r="B17" s="4" t="n">
        <v>1500</v>
      </c>
      <c r="C17" s="9">
        <f>SUMIF('Vendor &amp; Payment Tracker'!$A$4:$A$16,A17,'Vendor &amp; Payment Tracker'!$D$4:$D$16)</f>
        <v/>
      </c>
      <c r="D17" s="9">
        <f>B17-C17</f>
        <v/>
      </c>
      <c r="E17" s="10">
        <f>B17/B3</f>
        <v/>
      </c>
    </row>
    <row r="18">
      <c r="A18" s="8" t="inlineStr">
        <is>
          <t>Officiant</t>
        </is>
      </c>
      <c r="B18" s="4" t="n">
        <v>400</v>
      </c>
      <c r="C18" s="9">
        <f>SUMIF('Vendor &amp; Payment Tracker'!$A$4:$A$16,A18,'Vendor &amp; Payment Tracker'!$D$4:$D$16)</f>
        <v/>
      </c>
      <c r="D18" s="9">
        <f>B18-C18</f>
        <v/>
      </c>
      <c r="E18" s="10">
        <f>B18/B3</f>
        <v/>
      </c>
    </row>
    <row r="19">
      <c r="A19" s="8" t="inlineStr">
        <is>
          <t>Favors &amp; Gifts</t>
        </is>
      </c>
      <c r="B19" s="4" t="n">
        <v>450</v>
      </c>
      <c r="C19" s="9">
        <f>SUMIF('Vendor &amp; Payment Tracker'!$A$4:$A$16,A19,'Vendor &amp; Payment Tracker'!$D$4:$D$16)</f>
        <v/>
      </c>
      <c r="D19" s="9">
        <f>B19-C19</f>
        <v/>
      </c>
      <c r="E19" s="10">
        <f>B19/B3</f>
        <v/>
      </c>
    </row>
    <row r="20">
      <c r="A20" s="8" t="inlineStr">
        <is>
          <t>Miscellaneous / Buffer</t>
        </is>
      </c>
      <c r="B20" s="4" t="n">
        <v>650</v>
      </c>
      <c r="C20" s="9">
        <f>SUMIF('Vendor &amp; Payment Tracker'!$A$4:$A$16,A20,'Vendor &amp; Payment Tracker'!$D$4:$D$16)</f>
        <v/>
      </c>
      <c r="D20" s="9">
        <f>B20-C20</f>
        <v/>
      </c>
      <c r="E20" s="10">
        <f>B20/B3</f>
        <v/>
      </c>
    </row>
    <row r="21">
      <c r="A21" s="2" t="inlineStr">
        <is>
          <t>Total</t>
        </is>
      </c>
      <c r="B21" s="11">
        <f>SUM(B7:B20)</f>
        <v/>
      </c>
      <c r="C21" s="11">
        <f>SUM(C7:C20)</f>
        <v/>
      </c>
      <c r="D21" s="11">
        <f>SUM(D7:D20)</f>
        <v/>
      </c>
      <c r="E21" s="12">
        <f>SUM(E7:E20)</f>
        <v/>
      </c>
    </row>
    <row r="23">
      <c r="A23" s="2" t="inlineStr">
        <is>
          <t>Remaining vs. total budget</t>
        </is>
      </c>
      <c r="B23" s="11">
        <f>B3-C21</f>
        <v/>
      </c>
    </row>
  </sheetData>
  <mergeCells count="1"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Vendor &amp; Payment Tracker</t>
        </is>
      </c>
    </row>
    <row r="3">
      <c r="A3" s="7" t="inlineStr">
        <is>
          <t>Category</t>
        </is>
      </c>
      <c r="B3" s="7" t="inlineStr">
        <is>
          <t>Vendor Name</t>
        </is>
      </c>
      <c r="C3" s="7" t="inlineStr">
        <is>
          <t>Contact</t>
        </is>
      </c>
      <c r="D3" s="7" t="inlineStr">
        <is>
          <t>Contract Total</t>
        </is>
      </c>
      <c r="E3" s="7" t="inlineStr">
        <is>
          <t>Deposit Amount</t>
        </is>
      </c>
      <c r="F3" s="7" t="inlineStr">
        <is>
          <t>Deposit Status</t>
        </is>
      </c>
      <c r="G3" s="7" t="inlineStr">
        <is>
          <t>Deposit Due</t>
        </is>
      </c>
      <c r="H3" s="7" t="inlineStr">
        <is>
          <t>Balance Due</t>
        </is>
      </c>
      <c r="I3" s="7" t="inlineStr">
        <is>
          <t>Balance Due Date</t>
        </is>
      </c>
      <c r="J3" s="7" t="inlineStr">
        <is>
          <t>Balance Paid?</t>
        </is>
      </c>
      <c r="K3" s="7" t="inlineStr">
        <is>
          <t>Notes</t>
        </is>
      </c>
    </row>
    <row r="4">
      <c r="A4" s="8" t="inlineStr">
        <is>
          <t>Venue &amp; Rentals</t>
        </is>
      </c>
      <c r="B4" s="8" t="inlineStr">
        <is>
          <t>Sunset Barn Venue</t>
        </is>
      </c>
      <c r="C4" s="8" t="inlineStr">
        <is>
          <t>booking@sunsetbarn.example</t>
        </is>
      </c>
      <c r="D4" s="4" t="n">
        <v>9400</v>
      </c>
      <c r="E4" s="4" t="n">
        <v>2800</v>
      </c>
      <c r="F4" s="8" t="inlineStr">
        <is>
          <t>Booked</t>
        </is>
      </c>
      <c r="G4" s="8" t="inlineStr">
        <is>
          <t>3 mo before</t>
        </is>
      </c>
      <c r="H4" s="9">
        <f>D4-E4</f>
        <v/>
      </c>
      <c r="I4" s="8" t="inlineStr">
        <is>
          <t>See deposit due</t>
        </is>
      </c>
      <c r="J4" s="8" t="inlineStr">
        <is>
          <t>No</t>
        </is>
      </c>
      <c r="K4" s="8" t="inlineStr"/>
    </row>
    <row r="5">
      <c r="A5" s="8" t="inlineStr">
        <is>
          <t>Catering &amp; Bar</t>
        </is>
      </c>
      <c r="B5" s="8" t="inlineStr">
        <is>
          <t>Harvest Table Catering</t>
        </is>
      </c>
      <c r="C5" s="8" t="inlineStr">
        <is>
          <t>events@harvesttable.example</t>
        </is>
      </c>
      <c r="D5" s="4" t="n">
        <v>7200</v>
      </c>
      <c r="E5" s="4" t="n">
        <v>2200</v>
      </c>
      <c r="F5" s="8" t="inlineStr">
        <is>
          <t>Booked</t>
        </is>
      </c>
      <c r="G5" s="8" t="inlineStr">
        <is>
          <t>1 mo before</t>
        </is>
      </c>
      <c r="H5" s="9">
        <f>D5-E5</f>
        <v/>
      </c>
      <c r="I5" s="8" t="inlineStr">
        <is>
          <t>See deposit due</t>
        </is>
      </c>
      <c r="J5" s="8" t="inlineStr">
        <is>
          <t>No</t>
        </is>
      </c>
      <c r="K5" s="8" t="inlineStr"/>
    </row>
    <row r="6">
      <c r="A6" s="8" t="inlineStr">
        <is>
          <t>Photography &amp; Video</t>
        </is>
      </c>
      <c r="B6" s="8" t="inlineStr">
        <is>
          <t>Golden Hour Photo Co.</t>
        </is>
      </c>
      <c r="C6" s="8" t="inlineStr">
        <is>
          <t>hello@goldenhourphoto.example</t>
        </is>
      </c>
      <c r="D6" s="4" t="n">
        <v>3200</v>
      </c>
      <c r="E6" s="4" t="n">
        <v>1000</v>
      </c>
      <c r="F6" s="8" t="inlineStr">
        <is>
          <t>Booked</t>
        </is>
      </c>
      <c r="G6" s="8" t="inlineStr">
        <is>
          <t>Day-of</t>
        </is>
      </c>
      <c r="H6" s="9">
        <f>D6-E6</f>
        <v/>
      </c>
      <c r="I6" s="8" t="inlineStr">
        <is>
          <t>See deposit due</t>
        </is>
      </c>
      <c r="J6" s="8" t="inlineStr">
        <is>
          <t>No</t>
        </is>
      </c>
      <c r="K6" s="8" t="inlineStr"/>
    </row>
    <row r="7">
      <c r="A7" s="8" t="inlineStr">
        <is>
          <t>Wedding Attire</t>
        </is>
      </c>
      <c r="B7" s="8" t="inlineStr">
        <is>
          <t>Bridal Boutique + Men's Wearhouse</t>
        </is>
      </c>
      <c r="C7" s="8" t="inlineStr">
        <is>
          <t>-</t>
        </is>
      </c>
      <c r="D7" s="4" t="n">
        <v>1450</v>
      </c>
      <c r="E7" s="4" t="n">
        <v>1450</v>
      </c>
      <c r="F7" s="8" t="inlineStr">
        <is>
          <t>Paid in full</t>
        </is>
      </c>
      <c r="G7" s="8" t="inlineStr">
        <is>
          <t>-</t>
        </is>
      </c>
      <c r="H7" s="9">
        <f>D7-E7</f>
        <v/>
      </c>
      <c r="I7" s="8" t="inlineStr">
        <is>
          <t>-</t>
        </is>
      </c>
      <c r="J7" s="8" t="inlineStr">
        <is>
          <t>Yes</t>
        </is>
      </c>
      <c r="K7" s="8" t="inlineStr"/>
    </row>
    <row r="8">
      <c r="A8" s="8" t="inlineStr">
        <is>
          <t>Hair &amp; Makeup</t>
        </is>
      </c>
      <c r="B8" s="8" t="inlineStr">
        <is>
          <t>Glow Beauty Studio</t>
        </is>
      </c>
      <c r="C8" s="8" t="inlineStr">
        <is>
          <t>book@glowbeauty.example</t>
        </is>
      </c>
      <c r="D8" s="4" t="n">
        <v>600</v>
      </c>
      <c r="E8" s="4" t="n">
        <v>150</v>
      </c>
      <c r="F8" s="8" t="inlineStr">
        <is>
          <t>Booked</t>
        </is>
      </c>
      <c r="G8" s="8" t="inlineStr">
        <is>
          <t>Day-of</t>
        </is>
      </c>
      <c r="H8" s="9">
        <f>D8-E8</f>
        <v/>
      </c>
      <c r="I8" s="8" t="inlineStr">
        <is>
          <t>See deposit due</t>
        </is>
      </c>
      <c r="J8" s="8" t="inlineStr">
        <is>
          <t>No</t>
        </is>
      </c>
      <c r="K8" s="8" t="inlineStr"/>
    </row>
    <row r="9">
      <c r="A9" s="8" t="inlineStr">
        <is>
          <t>Flowers &amp; Decor</t>
        </is>
      </c>
      <c r="B9" s="8" t="inlineStr">
        <is>
          <t>Bloom &amp; Co Florals</t>
        </is>
      </c>
      <c r="C9" s="8" t="inlineStr">
        <is>
          <t>orders@bloomandco.example</t>
        </is>
      </c>
      <c r="D9" s="4" t="n">
        <v>2250</v>
      </c>
      <c r="E9" s="4" t="n">
        <v>675</v>
      </c>
      <c r="F9" s="8" t="inlineStr">
        <is>
          <t>Booked</t>
        </is>
      </c>
      <c r="G9" s="8" t="inlineStr">
        <is>
          <t>2 wk before</t>
        </is>
      </c>
      <c r="H9" s="9">
        <f>D9-E9</f>
        <v/>
      </c>
      <c r="I9" s="8" t="inlineStr">
        <is>
          <t>See deposit due</t>
        </is>
      </c>
      <c r="J9" s="8" t="inlineStr">
        <is>
          <t>No</t>
        </is>
      </c>
      <c r="K9" s="8" t="inlineStr"/>
    </row>
    <row r="10">
      <c r="A10" s="8" t="inlineStr">
        <is>
          <t>Music &amp; Entertainment</t>
        </is>
      </c>
      <c r="B10" s="8" t="inlineStr">
        <is>
          <t>DJ Spinlist</t>
        </is>
      </c>
      <c r="C10" s="8" t="inlineStr">
        <is>
          <t>dj@spinlist.example</t>
        </is>
      </c>
      <c r="D10" s="4" t="n">
        <v>1800</v>
      </c>
      <c r="E10" s="4" t="n">
        <v>500</v>
      </c>
      <c r="F10" s="8" t="inlineStr">
        <is>
          <t>Booked</t>
        </is>
      </c>
      <c r="G10" s="8" t="inlineStr">
        <is>
          <t>Day-of</t>
        </is>
      </c>
      <c r="H10" s="9">
        <f>D10-E10</f>
        <v/>
      </c>
      <c r="I10" s="8" t="inlineStr">
        <is>
          <t>See deposit due</t>
        </is>
      </c>
      <c r="J10" s="8" t="inlineStr">
        <is>
          <t>No</t>
        </is>
      </c>
      <c r="K10" s="8" t="inlineStr"/>
    </row>
    <row r="11">
      <c r="A11" s="8" t="inlineStr">
        <is>
          <t>Invitations &amp; Stationery</t>
        </is>
      </c>
      <c r="B11" s="8" t="inlineStr">
        <is>
          <t>Paper &amp; Pine Design</t>
        </is>
      </c>
      <c r="C11" s="8" t="inlineStr">
        <is>
          <t>studio@paperpine.example</t>
        </is>
      </c>
      <c r="D11" s="4" t="n">
        <v>420</v>
      </c>
      <c r="E11" s="4" t="n">
        <v>420</v>
      </c>
      <c r="F11" s="8" t="inlineStr">
        <is>
          <t>Paid in full</t>
        </is>
      </c>
      <c r="G11" s="8" t="inlineStr">
        <is>
          <t>-</t>
        </is>
      </c>
      <c r="H11" s="9">
        <f>D11-E11</f>
        <v/>
      </c>
      <c r="I11" s="8" t="inlineStr">
        <is>
          <t>-</t>
        </is>
      </c>
      <c r="J11" s="8" t="inlineStr">
        <is>
          <t>Yes</t>
        </is>
      </c>
      <c r="K11" s="8" t="inlineStr"/>
    </row>
    <row r="12">
      <c r="A12" s="8" t="inlineStr">
        <is>
          <t>Wedding Cake &amp; Desserts</t>
        </is>
      </c>
      <c r="B12" s="8" t="inlineStr">
        <is>
          <t>Sweet Layer Bakery</t>
        </is>
      </c>
      <c r="C12" s="8" t="inlineStr">
        <is>
          <t>orders@sweetlayer.example</t>
        </is>
      </c>
      <c r="D12" s="4" t="n">
        <v>650</v>
      </c>
      <c r="E12" s="4" t="n">
        <v>200</v>
      </c>
      <c r="F12" s="8" t="inlineStr">
        <is>
          <t>Booked</t>
        </is>
      </c>
      <c r="G12" s="8" t="inlineStr">
        <is>
          <t>1 wk before</t>
        </is>
      </c>
      <c r="H12" s="9">
        <f>D12-E12</f>
        <v/>
      </c>
      <c r="I12" s="8" t="inlineStr">
        <is>
          <t>See deposit due</t>
        </is>
      </c>
      <c r="J12" s="8" t="inlineStr">
        <is>
          <t>No</t>
        </is>
      </c>
      <c r="K12" s="8" t="inlineStr"/>
    </row>
    <row r="13">
      <c r="A13" s="8" t="inlineStr">
        <is>
          <t>Transportation</t>
        </is>
      </c>
      <c r="B13" s="8" t="inlineStr">
        <is>
          <t>Classic Car Rentals</t>
        </is>
      </c>
      <c r="C13" s="8" t="inlineStr">
        <is>
          <t>rentals@classiccars.example</t>
        </is>
      </c>
      <c r="D13" s="4" t="n">
        <v>400</v>
      </c>
      <c r="E13" s="4" t="n">
        <v>100</v>
      </c>
      <c r="F13" s="8" t="inlineStr">
        <is>
          <t>Booked</t>
        </is>
      </c>
      <c r="G13" s="8" t="inlineStr">
        <is>
          <t>Day-of</t>
        </is>
      </c>
      <c r="H13" s="9">
        <f>D13-E13</f>
        <v/>
      </c>
      <c r="I13" s="8" t="inlineStr">
        <is>
          <t>See deposit due</t>
        </is>
      </c>
      <c r="J13" s="8" t="inlineStr">
        <is>
          <t>No</t>
        </is>
      </c>
      <c r="K13" s="8" t="inlineStr"/>
    </row>
    <row r="14">
      <c r="A14" s="8" t="inlineStr">
        <is>
          <t>Rings</t>
        </is>
      </c>
      <c r="B14" s="8" t="inlineStr">
        <is>
          <t>Heirloom Jewelers</t>
        </is>
      </c>
      <c r="C14" s="8" t="inlineStr">
        <is>
          <t>sales@heirloomjewelers.example</t>
        </is>
      </c>
      <c r="D14" s="4" t="n">
        <v>1600</v>
      </c>
      <c r="E14" s="4" t="n">
        <v>1600</v>
      </c>
      <c r="F14" s="8" t="inlineStr">
        <is>
          <t>Paid in full</t>
        </is>
      </c>
      <c r="G14" s="8" t="inlineStr">
        <is>
          <t>-</t>
        </is>
      </c>
      <c r="H14" s="9">
        <f>D14-E14</f>
        <v/>
      </c>
      <c r="I14" s="8" t="inlineStr">
        <is>
          <t>-</t>
        </is>
      </c>
      <c r="J14" s="8" t="inlineStr">
        <is>
          <t>Yes</t>
        </is>
      </c>
      <c r="K14" s="8" t="inlineStr"/>
    </row>
    <row r="15">
      <c r="A15" s="8" t="inlineStr">
        <is>
          <t>Officiant</t>
        </is>
      </c>
      <c r="B15" s="8" t="inlineStr">
        <is>
          <t>Rev. J. Alvarez</t>
        </is>
      </c>
      <c r="C15" s="8" t="inlineStr">
        <is>
          <t>j.alvarez@example.com</t>
        </is>
      </c>
      <c r="D15" s="4" t="n">
        <v>400</v>
      </c>
      <c r="E15" s="4" t="n">
        <v>100</v>
      </c>
      <c r="F15" s="8" t="inlineStr">
        <is>
          <t>Booked</t>
        </is>
      </c>
      <c r="G15" s="8" t="inlineStr">
        <is>
          <t>Day-of</t>
        </is>
      </c>
      <c r="H15" s="9">
        <f>D15-E15</f>
        <v/>
      </c>
      <c r="I15" s="8" t="inlineStr">
        <is>
          <t>See deposit due</t>
        </is>
      </c>
      <c r="J15" s="8" t="inlineStr">
        <is>
          <t>No</t>
        </is>
      </c>
      <c r="K15" s="8" t="inlineStr"/>
    </row>
    <row r="16">
      <c r="A16" s="8" t="inlineStr">
        <is>
          <t>Favors &amp; Gifts</t>
        </is>
      </c>
      <c r="B16" s="8" t="inlineStr">
        <is>
          <t>Little Things Co.</t>
        </is>
      </c>
      <c r="C16" s="8" t="inlineStr">
        <is>
          <t>orders@littlethings.example</t>
        </is>
      </c>
      <c r="D16" s="4" t="n">
        <v>480</v>
      </c>
      <c r="E16" s="4" t="n">
        <v>480</v>
      </c>
      <c r="F16" s="8" t="inlineStr">
        <is>
          <t>Paid in full</t>
        </is>
      </c>
      <c r="G16" s="8" t="inlineStr">
        <is>
          <t>-</t>
        </is>
      </c>
      <c r="H16" s="9">
        <f>D16-E16</f>
        <v/>
      </c>
      <c r="I16" s="8" t="inlineStr">
        <is>
          <t>-</t>
        </is>
      </c>
      <c r="J16" s="8" t="inlineStr">
        <is>
          <t>Yes</t>
        </is>
      </c>
      <c r="K16" s="8" t="inlineStr"/>
    </row>
    <row r="17">
      <c r="A17" s="2" t="inlineStr">
        <is>
          <t>Total</t>
        </is>
      </c>
      <c r="D17" s="11">
        <f>SUM(D4:D16)</f>
        <v/>
      </c>
      <c r="E17" s="11">
        <f>SUM(E4:E16)</f>
        <v/>
      </c>
      <c r="H17" s="11">
        <f>SUM(H4:H16)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2026-07-20T07:26:14Z</dcterms:created>
  <dcterms:modified xsi:type="dcterms:W3CDTF">2026-07-20T07:26:14Z</dcterms:modified>
</cp:coreProperties>
</file>